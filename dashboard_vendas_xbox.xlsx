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alculos" sheetId="3" state="visible" r:id="rId3"/>
    <sheet xmlns:r="http://schemas.openxmlformats.org/officeDocument/2006/relationships" name="Dashbo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R$&quot;\ * #,##0.00_-;\-&quot;R$&quot;\ * #,##0.00_-;_-&quot;R$&quot;\ * &quot;-&quot;??_-;_-@_-"/>
    <numFmt numFmtId="165" formatCode="yyyy-mm-dd h:mm:ss"/>
    <numFmt numFmtId="166" formatCode="mmm/yy"/>
    <numFmt numFmtId="167" formatCode="R$ #,##0"/>
    <numFmt numFmtId="168" formatCode="R$ #,##0.00"/>
    <numFmt numFmtId="169" formatCode="0.0%"/>
  </numFmts>
  <fonts count="13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color rgb="00FFFFFF"/>
      <sz val="10"/>
    </font>
    <font>
      <b val="1"/>
      <color rgb="00FFFFFF"/>
      <sz val="18"/>
    </font>
    <font>
      <i val="1"/>
      <color rgb="00D9E2F3"/>
      <sz val="10"/>
    </font>
    <font>
      <b val="1"/>
      <color rgb="005B6573"/>
      <sz val="10"/>
    </font>
    <font>
      <b val="1"/>
      <color rgb="000B1736"/>
      <sz val="18"/>
    </font>
    <font>
      <b val="1"/>
      <color rgb="00FFFFFF"/>
      <sz val="11"/>
    </font>
    <font>
      <color rgb="005B6573"/>
      <sz val="9"/>
    </font>
    <font>
      <color rgb="000B1736"/>
      <sz val="10"/>
    </font>
    <font>
      <i val="1"/>
      <color rgb="005B6573"/>
      <sz val="9"/>
    </font>
  </fonts>
  <fills count="1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1F4E78"/>
      </patternFill>
    </fill>
    <fill>
      <patternFill patternType="solid">
        <fgColor rgb="000B1736"/>
      </patternFill>
    </fill>
    <fill>
      <patternFill patternType="solid">
        <fgColor rgb="00DCE6F1"/>
      </patternFill>
    </fill>
    <fill>
      <patternFill patternType="solid">
        <fgColor rgb="00D9EEF2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8FBFF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00D9E2F3"/>
      </left>
      <right style="thin">
        <color rgb="00D9E2F3"/>
      </right>
      <top style="medium">
        <color rgb="000B1736"/>
      </top>
      <bottom style="medium">
        <color rgb="000B1736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3">
    <xf numFmtId="0" fontId="2" fillId="0" borderId="0"/>
    <xf numFmtId="0" fontId="1" fillId="0" borderId="1"/>
    <xf numFmtId="44" fontId="2" fillId="0" borderId="0"/>
  </cellStyleXfs>
  <cellXfs count="42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8" borderId="2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" fontId="0" fillId="0" borderId="0" pivotButton="0" quotePrefix="0" xfId="0"/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/>
    </xf>
    <xf numFmtId="0" fontId="7" fillId="10" borderId="3" applyAlignment="1" pivotButton="0" quotePrefix="0" xfId="0">
      <alignment horizontal="center" vertical="center"/>
    </xf>
    <xf numFmtId="0" fontId="0" fillId="10" borderId="3" pivotButton="0" quotePrefix="0" xfId="0"/>
    <xf numFmtId="0" fontId="7" fillId="11" borderId="3" applyAlignment="1" pivotButton="0" quotePrefix="0" xfId="0">
      <alignment horizontal="center" vertical="center"/>
    </xf>
    <xf numFmtId="0" fontId="0" fillId="11" borderId="3" pivotButton="0" quotePrefix="0" xfId="0"/>
    <xf numFmtId="0" fontId="7" fillId="12" borderId="3" applyAlignment="1" pivotButton="0" quotePrefix="0" xfId="0">
      <alignment horizontal="center" vertical="center"/>
    </xf>
    <xf numFmtId="0" fontId="0" fillId="12" borderId="3" pivotButton="0" quotePrefix="0" xfId="0"/>
    <xf numFmtId="0" fontId="7" fillId="13" borderId="3" applyAlignment="1" pivotButton="0" quotePrefix="0" xfId="0">
      <alignment horizontal="center" vertical="center"/>
    </xf>
    <xf numFmtId="0" fontId="0" fillId="13" borderId="3" pivotButton="0" quotePrefix="0" xfId="0"/>
    <xf numFmtId="167" fontId="8" fillId="10" borderId="3" applyAlignment="1" pivotButton="0" quotePrefix="0" xfId="0">
      <alignment horizontal="center" vertical="center"/>
    </xf>
    <xf numFmtId="168" fontId="8" fillId="11" borderId="3" applyAlignment="1" pivotButton="0" quotePrefix="0" xfId="0">
      <alignment horizontal="center" vertical="center"/>
    </xf>
    <xf numFmtId="169" fontId="8" fillId="12" borderId="3" applyAlignment="1" pivotButton="0" quotePrefix="0" xfId="0">
      <alignment horizontal="center" vertical="center"/>
    </xf>
    <xf numFmtId="1" fontId="8" fillId="13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left"/>
    </xf>
    <xf numFmtId="0" fontId="0" fillId="0" borderId="3" pivotButton="0" quotePrefix="0" xfId="0"/>
    <xf numFmtId="0" fontId="10" fillId="0" borderId="0" pivotButton="0" quotePrefix="0" xfId="0"/>
    <xf numFmtId="0" fontId="4" fillId="9" borderId="3" applyAlignment="1" pivotButton="0" quotePrefix="0" xfId="0">
      <alignment horizontal="center"/>
    </xf>
    <xf numFmtId="0" fontId="11" fillId="14" borderId="3" pivotButton="0" quotePrefix="0" xfId="0"/>
    <xf numFmtId="167" fontId="11" fillId="14" borderId="3" pivotButton="0" quotePrefix="0" xfId="0"/>
    <xf numFmtId="0" fontId="11" fillId="0" borderId="3" pivotButton="0" quotePrefix="0" xfId="0"/>
    <xf numFmtId="167" fontId="11" fillId="0" borderId="3" pivotButton="0" quotePrefix="0" xfId="0"/>
    <xf numFmtId="0" fontId="12" fillId="0" borderId="0" applyAlignment="1" pivotButton="0" quotePrefix="0" xfId="0">
      <alignment horizontal="left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'Calculos'!$D$2:$D$4</f>
            </numRef>
          </cat>
          <val>
            <numRef>
              <f>'Calculos'!$E$2:$E$4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(R$)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 2024</a:t>
            </a:r>
          </a:p>
        </rich>
      </tx>
    </title>
    <plotArea>
      <lineChart>
        <grouping val="standard"/>
        <ser>
          <idx val="0"/>
          <order val="0"/>
          <tx>
            <strRef>
              <f>'Calculos'!B1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'Calculos'!$A$2:$A$13</f>
            </numRef>
          </cat>
          <val>
            <numRef>
              <f>'Calculos'!$B$2:$B$13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'Calculos'!H1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'Calculos'!$G$2:$G$4</f>
            </numRef>
          </cat>
          <val>
            <numRef>
              <f>'Calculos'!$H$2:$H$4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Renovação Automática</a:t>
            </a:r>
          </a:p>
        </rich>
      </tx>
    </title>
    <plotArea>
      <doughnutChart>
        <varyColors val="1"/>
        <ser>
          <idx val="0"/>
          <order val="0"/>
          <tx>
            <strRef>
              <f>'Calculos'!K1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'Calculos'!$J$2:$J$3</f>
            </numRef>
          </cat>
          <val>
            <numRef>
              <f>'Calculos'!$K$2:$K$3</f>
            </numRef>
          </val>
        </ser>
        <dLbls>
          <showPercent val="1"/>
          <showLeaderLines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2951999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2951999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2951999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22</row>
      <rowOff>0</rowOff>
    </from>
    <ext cx="2951999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1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S13"/>
  <sheetViews>
    <sheetView showGridLines="0" workbookViewId="0">
      <selection activeCell="A1" sqref="A1:XFD1048576"/>
    </sheetView>
  </sheetViews>
  <sheetFormatPr baseColWidth="8" defaultRowHeight="15"/>
  <cols>
    <col width="14" customWidth="1" min="1" max="1"/>
    <col width="14" customWidth="1" min="2" max="2"/>
    <col width="14" bestFit="1" customWidth="1" min="3" max="3"/>
    <col width="14" bestFit="1" customWidth="1" min="4" max="4"/>
    <col width="14" customWidth="1" min="5" max="5"/>
    <col width="14" bestFit="1" customWidth="1" min="6" max="6"/>
    <col width="14" bestFit="1" customWidth="1" min="7" max="7"/>
    <col width="14" customWidth="1" min="8" max="8"/>
    <col width="14" bestFit="1" customWidth="1" min="9" max="9"/>
    <col width="14" bestFit="1" customWidth="1" min="10" max="11"/>
    <col width="14" customWidth="1" min="11" max="11"/>
    <col width="14" bestFit="1" customWidth="1" min="12" max="15"/>
    <col width="14" customWidth="1" min="13" max="13"/>
    <col width="14" customWidth="1" min="14" max="14"/>
    <col width="14" customWidth="1" min="15" max="15"/>
    <col width="14" bestFit="1" customWidth="1" min="16" max="16"/>
    <col width="14" bestFit="1" customWidth="1" min="17" max="17"/>
    <col width="14" customWidth="1" min="18" max="18"/>
    <col width="14" customWidth="1" min="19" max="19"/>
  </cols>
  <sheetData>
    <row r="1">
      <c r="A1" s="13" t="inlineStr">
        <is>
          <t>Mês</t>
        </is>
      </c>
      <c r="B1" s="13" t="inlineStr">
        <is>
          <t>Receita Mensal</t>
        </is>
      </c>
      <c r="D1" s="13" t="inlineStr">
        <is>
          <t>Plano</t>
        </is>
      </c>
      <c r="E1" s="13" t="inlineStr">
        <is>
          <t>Receita por Plano</t>
        </is>
      </c>
      <c r="G1" s="13" t="inlineStr">
        <is>
          <t>Tipo</t>
        </is>
      </c>
      <c r="H1" s="13" t="inlineStr">
        <is>
          <t>Receita por Tipo</t>
        </is>
      </c>
      <c r="J1" s="13" t="inlineStr">
        <is>
          <t>Renovação</t>
        </is>
      </c>
      <c r="K1" s="13" t="inlineStr">
        <is>
          <t>Qtde</t>
        </is>
      </c>
      <c r="L1" s="13" t="inlineStr">
        <is>
          <t>Receita</t>
        </is>
      </c>
      <c r="N1" s="13" t="inlineStr">
        <is>
          <t>KPI</t>
        </is>
      </c>
      <c r="O1" s="13" t="inlineStr">
        <is>
          <t>Valor</t>
        </is>
      </c>
      <c r="Q1" s="13" t="inlineStr">
        <is>
          <t>Rank</t>
        </is>
      </c>
      <c r="R1" s="13" t="inlineStr">
        <is>
          <t>Cliente</t>
        </is>
      </c>
      <c r="S1" s="13" t="inlineStr">
        <is>
          <t>Receita</t>
        </is>
      </c>
    </row>
    <row r="2">
      <c r="A2" s="14" t="n">
        <v>45292</v>
      </c>
      <c r="B2" s="15">
        <f>SUMIFS(Base!$M$2:$M$296,Base!$D$2:$D$296,"&gt;="&amp;A2,Base!$D$2:$D$296,"&lt;"&amp;EDATE(A2,1))</f>
        <v/>
      </c>
      <c r="D2" t="inlineStr">
        <is>
          <t>Ultimate</t>
        </is>
      </c>
      <c r="E2" s="15">
        <f>SUMIF(Base!$C$2:$C$296,D2,Base!$M$2:$M$296)</f>
        <v/>
      </c>
      <c r="G2" t="inlineStr">
        <is>
          <t>Monthly</t>
        </is>
      </c>
      <c r="H2" s="15">
        <f>SUMIF(Base!$G$2:$G$296,G2,Base!$M$2:$M$296)</f>
        <v/>
      </c>
      <c r="J2" t="inlineStr">
        <is>
          <t>Yes</t>
        </is>
      </c>
      <c r="K2">
        <f>COUNTIF(Base!$E$2:$E$296,J2)</f>
        <v/>
      </c>
      <c r="L2" s="15">
        <f>SUMIF(Base!$E$2:$E$296,J2,Base!$M$2:$M$296)</f>
        <v/>
      </c>
      <c r="N2" t="inlineStr">
        <is>
          <t>Receita Total</t>
        </is>
      </c>
      <c r="O2" s="15">
        <f>SUM(B2:B13)</f>
        <v/>
      </c>
      <c r="Q2" t="n">
        <v>1</v>
      </c>
      <c r="R2" t="inlineStr">
        <is>
          <t>Joana Silveira</t>
        </is>
      </c>
      <c r="S2" s="15" t="n">
        <v>120</v>
      </c>
    </row>
    <row r="3">
      <c r="A3" s="14" t="n">
        <v>45323</v>
      </c>
      <c r="B3" s="15">
        <f>SUMIFS(Base!$M$2:$M$296,Base!$D$2:$D$296,"&gt;="&amp;A3,Base!$D$2:$D$296,"&lt;"&amp;EDATE(A3,1))</f>
        <v/>
      </c>
      <c r="D3" t="inlineStr">
        <is>
          <t>Standard</t>
        </is>
      </c>
      <c r="E3" s="15">
        <f>SUMIF(Base!$C$2:$C$296,D3,Base!$M$2:$M$296)</f>
        <v/>
      </c>
      <c r="G3" t="inlineStr">
        <is>
          <t>Quarterly</t>
        </is>
      </c>
      <c r="H3" s="15">
        <f>SUMIF(Base!$G$2:$G$296,G3,Base!$M$2:$M$296)</f>
        <v/>
      </c>
      <c r="J3" t="inlineStr">
        <is>
          <t>No</t>
        </is>
      </c>
      <c r="K3">
        <f>COUNTIF(Base!$E$2:$E$296,J3)</f>
        <v/>
      </c>
      <c r="L3" s="15">
        <f>SUMIF(Base!$E$2:$E$296,J3,Base!$M$2:$M$296)</f>
        <v/>
      </c>
      <c r="N3" t="inlineStr">
        <is>
          <t>Ticket Médio</t>
        </is>
      </c>
      <c r="O3" s="16">
        <f>AVERAGE(Base!$M$2:$M$296)</f>
        <v/>
      </c>
      <c r="Q3" t="n">
        <v>2</v>
      </c>
      <c r="R3" t="inlineStr">
        <is>
          <t>Geraldo Ribeiro</t>
        </is>
      </c>
      <c r="S3" s="15" t="n">
        <v>107</v>
      </c>
    </row>
    <row r="4">
      <c r="A4" s="14" t="n">
        <v>45352</v>
      </c>
      <c r="B4" s="15">
        <f>SUMIFS(Base!$M$2:$M$296,Base!$D$2:$D$296,"&gt;="&amp;A4,Base!$D$2:$D$296,"&lt;"&amp;EDATE(A4,1))</f>
        <v/>
      </c>
      <c r="D4" t="inlineStr">
        <is>
          <t>Core</t>
        </is>
      </c>
      <c r="E4" s="15">
        <f>SUMIF(Base!$C$2:$C$296,D4,Base!$M$2:$M$296)</f>
        <v/>
      </c>
      <c r="G4" t="inlineStr">
        <is>
          <t>Annual</t>
        </is>
      </c>
      <c r="H4" s="15">
        <f>SUMIF(Base!$G$2:$G$296,G4,Base!$M$2:$M$296)</f>
        <v/>
      </c>
      <c r="N4" t="inlineStr">
        <is>
          <t>% Auto Renewal</t>
        </is>
      </c>
      <c r="O4" s="17">
        <f>COUNTIF(Base!$E$2:$E$296,"Yes")/COUNTA(Base!$E$2:$E$296)</f>
        <v/>
      </c>
      <c r="Q4" t="n">
        <v>3</v>
      </c>
      <c r="R4" t="inlineStr">
        <is>
          <t>Daniela Moura</t>
        </is>
      </c>
      <c r="S4" s="15" t="n">
        <v>105</v>
      </c>
    </row>
    <row r="5">
      <c r="A5" s="14" t="n">
        <v>45383</v>
      </c>
      <c r="B5" s="15">
        <f>SUMIFS(Base!$M$2:$M$296,Base!$D$2:$D$296,"&gt;="&amp;A5,Base!$D$2:$D$296,"&lt;"&amp;EDATE(A5,1))</f>
        <v/>
      </c>
      <c r="N5" t="inlineStr">
        <is>
          <t>Assinantes</t>
        </is>
      </c>
      <c r="O5" s="18">
        <f>COUNTA(Base!$A$2:$A$296)</f>
        <v/>
      </c>
      <c r="Q5" t="n">
        <v>4</v>
      </c>
      <c r="R5" t="inlineStr">
        <is>
          <t>Kléber Oliveira</t>
        </is>
      </c>
      <c r="S5" s="15" t="n">
        <v>80</v>
      </c>
    </row>
    <row r="6">
      <c r="A6" s="14" t="n">
        <v>45413</v>
      </c>
      <c r="B6" s="15">
        <f>SUMIFS(Base!$M$2:$M$296,Base!$D$2:$D$296,"&gt;="&amp;A6,Base!$D$2:$D$296,"&lt;"&amp;EDATE(A6,1))</f>
        <v/>
      </c>
      <c r="Q6" t="n">
        <v>5</v>
      </c>
      <c r="R6" t="inlineStr">
        <is>
          <t>Xuxa Meneghel</t>
        </is>
      </c>
      <c r="S6" s="15" t="n">
        <v>70</v>
      </c>
    </row>
    <row r="7">
      <c r="A7" s="14" t="n">
        <v>45444</v>
      </c>
      <c r="B7" s="15">
        <f>SUMIFS(Base!$M$2:$M$296,Base!$D$2:$D$296,"&gt;="&amp;A7,Base!$D$2:$D$296,"&lt;"&amp;EDATE(A7,1))</f>
        <v/>
      </c>
      <c r="Q7" t="n">
        <v>6</v>
      </c>
      <c r="R7" t="inlineStr">
        <is>
          <t>Elisa Neves</t>
        </is>
      </c>
      <c r="S7" s="15" t="n">
        <v>67</v>
      </c>
    </row>
    <row r="8">
      <c r="A8" s="14" t="n">
        <v>45474</v>
      </c>
      <c r="B8" s="15">
        <f>SUMIFS(Base!$M$2:$M$296,Base!$D$2:$D$296,"&gt;="&amp;A8,Base!$D$2:$D$296,"&lt;"&amp;EDATE(A8,1))</f>
        <v/>
      </c>
      <c r="Q8" t="n">
        <v>7</v>
      </c>
      <c r="R8" t="inlineStr">
        <is>
          <t>Raquel Novaes</t>
        </is>
      </c>
      <c r="S8" s="15" t="n">
        <v>62</v>
      </c>
    </row>
    <row r="9">
      <c r="A9" s="14" t="n">
        <v>45505</v>
      </c>
      <c r="B9" s="15">
        <f>SUMIFS(Base!$M$2:$M$296,Base!$D$2:$D$296,"&gt;="&amp;A9,Base!$D$2:$D$296,"&lt;"&amp;EDATE(A9,1))</f>
        <v/>
      </c>
      <c r="Q9" t="n">
        <v>8</v>
      </c>
      <c r="R9" t="inlineStr">
        <is>
          <t>Gabriel Santos</t>
        </is>
      </c>
      <c r="S9" s="15" t="n">
        <v>62</v>
      </c>
    </row>
    <row r="10">
      <c r="A10" s="14" t="n">
        <v>45536</v>
      </c>
      <c r="B10" s="15">
        <f>SUMIFS(Base!$M$2:$M$296,Base!$D$2:$D$296,"&gt;="&amp;A10,Base!$D$2:$D$296,"&lt;"&amp;EDATE(A10,1))</f>
        <v/>
      </c>
      <c r="Q10" t="n">
        <v>9</v>
      </c>
      <c r="R10" t="inlineStr">
        <is>
          <t>Patrícia Leite</t>
        </is>
      </c>
      <c r="S10" s="15" t="n">
        <v>62</v>
      </c>
    </row>
    <row r="11">
      <c r="A11" s="14" t="n">
        <v>45566</v>
      </c>
      <c r="B11" s="15">
        <f>SUMIFS(Base!$M$2:$M$296,Base!$D$2:$D$296,"&gt;="&amp;A11,Base!$D$2:$D$296,"&lt;"&amp;EDATE(A11,1))</f>
        <v/>
      </c>
      <c r="Q11" t="n">
        <v>10</v>
      </c>
      <c r="R11" t="inlineStr">
        <is>
          <t>Elisa Correia</t>
        </is>
      </c>
      <c r="S11" s="15" t="n">
        <v>62</v>
      </c>
    </row>
    <row r="12">
      <c r="A12" s="14" t="n">
        <v>45597</v>
      </c>
      <c r="B12" s="15">
        <f>SUMIFS(Base!$M$2:$M$296,Base!$D$2:$D$296,"&gt;="&amp;A12,Base!$D$2:$D$296,"&lt;"&amp;EDATE(A12,1))</f>
        <v/>
      </c>
    </row>
    <row r="13">
      <c r="A13" s="14" t="n">
        <v>45627</v>
      </c>
      <c r="B13" s="15">
        <f>SUMIFS(Base!$M$2:$M$296,Base!$D$2:$D$296,"&gt;="&amp;A13,Base!$D$2:$D$296,"&lt;"&amp;EDATE(A13,1))</f>
        <v/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zoomScale="80" zoomScaleNormal="80" workbookViewId="0">
      <pane ySplit="3" topLeftCell="A4" activePane="bottomLeft" state="frozen"/>
      <selection pane="bottomLeft" activeCell="A3" sqref="A3:A4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5" customWidth="1" min="4" max="4"/>
    <col width="14" customWidth="1" min="5" max="5"/>
    <col width="14" customWidth="1" min="6" max="6"/>
    <col width="5" customWidth="1" min="7" max="7"/>
    <col width="14" customWidth="1" min="8" max="8"/>
    <col width="14" customWidth="1" min="9" max="9"/>
    <col width="5" customWidth="1" min="10" max="10"/>
    <col width="14" customWidth="1" min="11" max="11"/>
    <col width="14" customWidth="1" min="12" max="12"/>
  </cols>
  <sheetData>
    <row r="1" ht="22" customHeight="1">
      <c r="A1" s="19" t="inlineStr">
        <is>
          <t>Dashboard de Vendas - Xbox Game Pass</t>
        </is>
      </c>
    </row>
    <row r="2" ht="22" customHeight="1"/>
    <row r="3" ht="22" customHeight="1">
      <c r="A3" s="20" t="inlineStr">
        <is>
          <t>Visão geral da base de assinaturas de 2024 com foco em receita, perfil de compra e clientes de maior valor</t>
        </is>
      </c>
    </row>
    <row r="4" ht="22" customHeight="1"/>
    <row r="5" ht="22" customHeight="1">
      <c r="A5" s="21" t="inlineStr">
        <is>
          <t>Receita Total</t>
        </is>
      </c>
      <c r="B5" s="22" t="n"/>
      <c r="C5" s="22" t="n"/>
      <c r="D5" s="23" t="inlineStr">
        <is>
          <t>Ticket Médio</t>
        </is>
      </c>
      <c r="E5" s="24" t="n"/>
      <c r="F5" s="24" t="n"/>
      <c r="G5" s="25" t="inlineStr">
        <is>
          <t>% Auto Renewal</t>
        </is>
      </c>
      <c r="H5" s="26" t="n"/>
      <c r="I5" s="26" t="n"/>
      <c r="J5" s="27" t="inlineStr">
        <is>
          <t>Assinantes</t>
        </is>
      </c>
      <c r="K5" s="28" t="n"/>
      <c r="L5" s="28" t="n"/>
    </row>
    <row r="6" ht="22" customHeight="1">
      <c r="A6" s="29">
        <f>Calculos!O2</f>
        <v/>
      </c>
      <c r="B6" s="22" t="n"/>
      <c r="C6" s="22" t="n"/>
      <c r="D6" s="30">
        <f>Calculos!O3</f>
        <v/>
      </c>
      <c r="E6" s="24" t="n"/>
      <c r="F6" s="24" t="n"/>
      <c r="G6" s="31">
        <f>Calculos!O4</f>
        <v/>
      </c>
      <c r="H6" s="26" t="n"/>
      <c r="I6" s="26" t="n"/>
      <c r="J6" s="32">
        <f>Calculos!O5</f>
        <v/>
      </c>
      <c r="K6" s="28" t="n"/>
      <c r="L6" s="28" t="n"/>
    </row>
    <row r="7" ht="22" customHeight="1">
      <c r="A7" s="22" t="n"/>
      <c r="B7" s="22" t="n"/>
      <c r="C7" s="22" t="n"/>
      <c r="D7" s="24" t="n"/>
      <c r="E7" s="24" t="n"/>
      <c r="F7" s="24" t="n"/>
      <c r="G7" s="26" t="n"/>
      <c r="H7" s="26" t="n"/>
      <c r="I7" s="26" t="n"/>
      <c r="J7" s="28" t="n"/>
      <c r="K7" s="28" t="n"/>
      <c r="L7" s="28" t="n"/>
    </row>
    <row r="8" ht="22" customHeight="1"/>
    <row r="9" ht="22" customHeight="1">
      <c r="A9" s="33" t="inlineStr">
        <is>
          <t>Receita por Plano</t>
        </is>
      </c>
      <c r="B9" s="34" t="n"/>
      <c r="C9" s="34" t="n"/>
      <c r="D9" s="34" t="n"/>
      <c r="E9" s="34" t="n"/>
      <c r="F9" s="34" t="n"/>
      <c r="G9" s="33" t="inlineStr">
        <is>
          <t>Receita Mensal</t>
        </is>
      </c>
      <c r="H9" s="34" t="n"/>
      <c r="I9" s="34" t="n"/>
      <c r="J9" s="34" t="n"/>
      <c r="K9" s="34" t="n"/>
      <c r="L9" s="34" t="n"/>
    </row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>
      <c r="A20" s="35" t="inlineStr">
        <is>
          <t>Legenda: receita total por plano.</t>
        </is>
      </c>
      <c r="G20" s="35" t="inlineStr">
        <is>
          <t>Legenda: evolução mensal da receita em 2024.</t>
        </is>
      </c>
    </row>
    <row r="21" ht="22" customHeight="1"/>
    <row r="22" ht="22" customHeight="1">
      <c r="A22" s="33" t="inlineStr">
        <is>
          <t>Receita por Tipo de Assinatura</t>
        </is>
      </c>
      <c r="B22" s="34" t="n"/>
      <c r="C22" s="34" t="n"/>
      <c r="D22" s="34" t="n"/>
      <c r="E22" s="34" t="n"/>
      <c r="F22" s="34" t="n"/>
      <c r="G22" s="33" t="inlineStr">
        <is>
          <t>Renovação Automática</t>
        </is>
      </c>
      <c r="H22" s="34" t="n"/>
      <c r="I22" s="34" t="n"/>
      <c r="J22" s="34" t="n"/>
      <c r="K22" s="34" t="n"/>
      <c r="L22" s="34" t="n"/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>
      <c r="A33" s="35" t="inlineStr">
        <is>
          <t>Legenda: comparação entre planos mensal, trimestral e anual.</t>
        </is>
      </c>
      <c r="G33" s="35" t="inlineStr">
        <is>
          <t>Legenda: participação de clientes com e sem renovação automática.</t>
        </is>
      </c>
    </row>
    <row r="34" ht="22" customHeight="1"/>
    <row r="35" ht="22" customHeight="1">
      <c r="A35" s="33" t="inlineStr">
        <is>
          <t>Top 10 Clientes por Receita (agregado por cliente)</t>
        </is>
      </c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</row>
    <row r="36" ht="22" customHeight="1">
      <c r="A36" s="36" t="inlineStr">
        <is>
          <t>Rank</t>
        </is>
      </c>
      <c r="B36" s="36" t="inlineStr">
        <is>
          <t>Cliente</t>
        </is>
      </c>
      <c r="C36" s="36" t="inlineStr">
        <is>
          <t>Receita</t>
        </is>
      </c>
    </row>
    <row r="37" ht="22" customHeight="1">
      <c r="A37" s="37" t="n">
        <v>1</v>
      </c>
      <c r="B37" s="37" t="inlineStr">
        <is>
          <t>Joana Silveira</t>
        </is>
      </c>
      <c r="C37" s="38" t="n">
        <v>120</v>
      </c>
    </row>
    <row r="38" ht="22" customHeight="1">
      <c r="A38" s="39" t="n">
        <v>2</v>
      </c>
      <c r="B38" s="39" t="inlineStr">
        <is>
          <t>Geraldo Ribeiro</t>
        </is>
      </c>
      <c r="C38" s="40" t="n">
        <v>107</v>
      </c>
    </row>
    <row r="39" ht="22" customHeight="1">
      <c r="A39" s="37" t="n">
        <v>3</v>
      </c>
      <c r="B39" s="37" t="inlineStr">
        <is>
          <t>Daniela Moura</t>
        </is>
      </c>
      <c r="C39" s="38" t="n">
        <v>105</v>
      </c>
    </row>
    <row r="40" ht="22" customHeight="1">
      <c r="A40" s="39" t="n">
        <v>4</v>
      </c>
      <c r="B40" s="39" t="inlineStr">
        <is>
          <t>Kléber Oliveira</t>
        </is>
      </c>
      <c r="C40" s="40" t="n">
        <v>80</v>
      </c>
    </row>
    <row r="41" ht="22" customHeight="1">
      <c r="A41" s="37" t="n">
        <v>5</v>
      </c>
      <c r="B41" s="37" t="inlineStr">
        <is>
          <t>Xuxa Meneghel</t>
        </is>
      </c>
      <c r="C41" s="38" t="n">
        <v>70</v>
      </c>
    </row>
    <row r="42" ht="22" customHeight="1">
      <c r="A42" s="39" t="n">
        <v>6</v>
      </c>
      <c r="B42" s="39" t="inlineStr">
        <is>
          <t>Elisa Neves</t>
        </is>
      </c>
      <c r="C42" s="40" t="n">
        <v>67</v>
      </c>
    </row>
    <row r="43" ht="22" customHeight="1">
      <c r="A43" s="37" t="n">
        <v>7</v>
      </c>
      <c r="B43" s="37" t="inlineStr">
        <is>
          <t>Raquel Novaes</t>
        </is>
      </c>
      <c r="C43" s="38" t="n">
        <v>62</v>
      </c>
    </row>
    <row r="44" ht="22" customHeight="1">
      <c r="A44" s="39" t="n">
        <v>8</v>
      </c>
      <c r="B44" s="39" t="inlineStr">
        <is>
          <t>Gabriel Santos</t>
        </is>
      </c>
      <c r="C44" s="40" t="n">
        <v>62</v>
      </c>
    </row>
    <row r="45" ht="22" customHeight="1">
      <c r="A45" s="37" t="n">
        <v>9</v>
      </c>
      <c r="B45" s="37" t="inlineStr">
        <is>
          <t>Patrícia Leite</t>
        </is>
      </c>
      <c r="C45" s="38" t="n">
        <v>62</v>
      </c>
    </row>
    <row r="46" ht="22" customHeight="1">
      <c r="A46" s="39" t="n">
        <v>10</v>
      </c>
      <c r="B46" s="39" t="inlineStr">
        <is>
          <t>Elisa Correia</t>
        </is>
      </c>
      <c r="C46" s="40" t="n">
        <v>62</v>
      </c>
    </row>
    <row r="47" ht="22" customHeight="1">
      <c r="A47" s="41" t="inlineStr">
        <is>
          <t>Verificação feita: o ranking de clientes foi consolidado por nome, corrigindo a repetição indevida de um único cliente.</t>
        </is>
      </c>
    </row>
    <row r="48" ht="22" customHeight="1"/>
    <row r="49" ht="22" customHeight="1"/>
  </sheetData>
  <mergeCells count="16">
    <mergeCell ref="J5:L5"/>
    <mergeCell ref="A6:C7"/>
    <mergeCell ref="G6:I7"/>
    <mergeCell ref="D6:F7"/>
    <mergeCell ref="J6:L7"/>
    <mergeCell ref="D5:F5"/>
    <mergeCell ref="A5:C5"/>
    <mergeCell ref="G5:I5"/>
    <mergeCell ref="A47:L47"/>
    <mergeCell ref="G22:L22"/>
    <mergeCell ref="A9:F9"/>
    <mergeCell ref="A1:L2"/>
    <mergeCell ref="G9:L9"/>
    <mergeCell ref="A22:F22"/>
    <mergeCell ref="A3:L3"/>
    <mergeCell ref="A35:L35"/>
  </mergeCells>
  <conditionalFormatting sqref="C37:C46">
    <cfRule type="dataBar" priority="1">
      <dataBar showValue="1">
        <cfvo type="min"/>
        <cfvo type="max"/>
        <color rgb="005B9BD5"/>
      </dataBar>
    </cfRule>
  </conditionalFormatting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2026-03-25T22:30:16Z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